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520" yWindow="2700" windowWidth="19440" windowHeight="12735"/>
  </bookViews>
  <sheets>
    <sheet name="표준견적서" sheetId="1" r:id="rId1"/>
    <sheet name="Sheet2" sheetId="4" r:id="rId2"/>
  </sheets>
  <definedNames>
    <definedName name="_xlnm.Print_Area" localSheetId="0">표준견적서!$A$1:$P$31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L14" i="1" l="1"/>
  <c r="L31" i="1" s="1"/>
  <c r="I31" i="1"/>
  <c r="S1" i="1"/>
  <c r="L11" i="1" l="1"/>
  <c r="E11" i="1" s="1"/>
</calcChain>
</file>

<file path=xl/sharedStrings.xml><?xml version="1.0" encoding="utf-8"?>
<sst xmlns="http://schemas.openxmlformats.org/spreadsheetml/2006/main" count="40" uniqueCount="40">
  <si>
    <t>공
급
자</t>
    <phoneticPr fontId="1" type="noConversion"/>
  </si>
  <si>
    <t>등록번호</t>
    <phoneticPr fontId="1" type="noConversion"/>
  </si>
  <si>
    <t>업태</t>
    <phoneticPr fontId="1" type="noConversion"/>
  </si>
  <si>
    <t>종목</t>
    <phoneticPr fontId="1" type="noConversion"/>
  </si>
  <si>
    <t>연락처</t>
    <phoneticPr fontId="1" type="noConversion"/>
  </si>
  <si>
    <t>성명</t>
    <phoneticPr fontId="1" type="noConversion"/>
  </si>
  <si>
    <t>(인)</t>
    <phoneticPr fontId="1" type="noConversion"/>
  </si>
  <si>
    <t>상호</t>
    <phoneticPr fontId="1" type="noConversion"/>
  </si>
  <si>
    <t>일금</t>
    <phoneticPr fontId="1" type="noConversion"/>
  </si>
  <si>
    <t>원정</t>
    <phoneticPr fontId="1" type="noConversion"/>
  </si>
  <si>
    <t>NO</t>
    <phoneticPr fontId="1" type="noConversion"/>
  </si>
  <si>
    <t>아래와 같이 견적합니다.</t>
    <phoneticPr fontId="1" type="noConversion"/>
  </si>
  <si>
    <t xml:space="preserve"> 견   적   서 </t>
    <phoneticPr fontId="1" type="noConversion"/>
  </si>
  <si>
    <t>공 급 가 액</t>
    <phoneticPr fontId="1" type="noConversion"/>
  </si>
  <si>
    <t>세  액</t>
    <phoneticPr fontId="1" type="noConversion"/>
  </si>
  <si>
    <t>비  고</t>
    <phoneticPr fontId="1" type="noConversion"/>
  </si>
  <si>
    <t>품  명</t>
    <phoneticPr fontId="1" type="noConversion"/>
  </si>
  <si>
    <t>규  격</t>
    <phoneticPr fontId="1" type="noConversion"/>
  </si>
  <si>
    <t>님 귀하</t>
    <phoneticPr fontId="1" type="noConversion"/>
  </si>
  <si>
    <t>합    계</t>
    <phoneticPr fontId="1" type="noConversion"/>
  </si>
  <si>
    <t>2. 견적유효기간: 00일</t>
    <phoneticPr fontId="1" type="noConversion"/>
  </si>
  <si>
    <t>3. 기타사항: 00000</t>
    <phoneticPr fontId="1" type="noConversion"/>
  </si>
  <si>
    <t>절상</t>
  </si>
  <si>
    <t>세액 계산:</t>
    <phoneticPr fontId="1" type="noConversion"/>
  </si>
  <si>
    <t>1. 견적금액은 부가가치세 별도입니다.</t>
    <phoneticPr fontId="1" type="noConversion"/>
  </si>
  <si>
    <t>오피스클린프로</t>
    <phoneticPr fontId="1" type="noConversion"/>
  </si>
  <si>
    <t>이경운</t>
    <phoneticPr fontId="1" type="noConversion"/>
  </si>
  <si>
    <t>사업시설 관리 서비스업</t>
    <phoneticPr fontId="1" type="noConversion"/>
  </si>
  <si>
    <t>010-8158-7873</t>
    <phoneticPr fontId="1" type="noConversion"/>
  </si>
  <si>
    <t>정기청소</t>
    <phoneticPr fontId="1" type="noConversion"/>
  </si>
  <si>
    <t>횟수</t>
    <phoneticPr fontId="1" type="noConversion"/>
  </si>
  <si>
    <t>담당자</t>
    <phoneticPr fontId="1" type="noConversion"/>
  </si>
  <si>
    <t>김준희</t>
    <phoneticPr fontId="1" type="noConversion"/>
  </si>
  <si>
    <t>합 계 금 액</t>
    <phoneticPr fontId="1" type="noConversion"/>
  </si>
  <si>
    <t>812-05-03268</t>
    <phoneticPr fontId="1" type="noConversion"/>
  </si>
  <si>
    <t>건축물 일반 청소업</t>
    <phoneticPr fontId="1" type="noConversion"/>
  </si>
  <si>
    <t>사무실전체</t>
    <phoneticPr fontId="1" type="noConversion"/>
  </si>
  <si>
    <t>주1회</t>
    <phoneticPr fontId="1" type="noConversion"/>
  </si>
  <si>
    <t>법무법인 마스트</t>
    <phoneticPr fontId="1" type="noConversion"/>
  </si>
  <si>
    <t>상세사항
청소 범위
1. 작업일정 
- 주1회 사무실 내부청소
2. 작업내용
- 실내 내부바닥 기본청소 진행 후 약품청소_친환경세제(바닥코딩보호) 도포 
- 종량제,재활용 쓰레기 분리수거
- 회의실 탁자 및 청소
- 탕비실 청소
- 개인쓰레기통 비우기
- 개인사무실 탁자 및 바닥 청소 
- 선반 먼지 제거 
- 창틀 먼지 제거
- 파쇄지 비우기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</si>
</sst>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DBNum4][$-412]General"/>
    <numFmt numFmtId="177" formatCode="yyyy&quot;년&quot;\ m&quot;월&quot;\ d&quot;일&quot;;@"/>
    <numFmt numFmtId="178" formatCode="\(_-&quot;₩&quot;* #,##0_-\);\(\-&quot;₩&quot;* #,##0_-\);\(_-&quot;₩&quot;* &quot;-&quot;_-\);\(_-@_-\)"/>
    <numFmt numFmtId="179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0" fontId="0" fillId="0" borderId="3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distributed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9" fontId="0" fillId="0" borderId="1" xfId="0" applyNumberFormat="1" applyBorder="1" applyAlignment="1">
      <alignment vertical="center" shrinkToFit="1"/>
    </xf>
    <xf numFmtId="179" fontId="0" fillId="0" borderId="3" xfId="0" applyNumberFormat="1" applyBorder="1" applyAlignment="1">
      <alignment horizontal="right" vertical="center" shrinkToFit="1"/>
    </xf>
    <xf numFmtId="179" fontId="0" fillId="0" borderId="5" xfId="0" applyNumberFormat="1" applyBorder="1" applyAlignment="1">
      <alignment horizontal="right" vertical="center" shrinkToFit="1"/>
    </xf>
    <xf numFmtId="0" fontId="3" fillId="0" borderId="1" xfId="0" applyFont="1" applyBorder="1" applyAlignment="1">
      <alignment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0" fillId="0" borderId="3" xfId="0" applyNumberFormat="1" applyBorder="1" applyAlignment="1">
      <alignment vertical="center" shrinkToFit="1"/>
    </xf>
    <xf numFmtId="179" fontId="0" fillId="0" borderId="4" xfId="0" applyNumberFormat="1" applyBorder="1" applyAlignment="1">
      <alignment vertical="center" shrinkToFit="1"/>
    </xf>
    <xf numFmtId="179" fontId="0" fillId="0" borderId="5" xfId="0" applyNumberFormat="1" applyBorder="1" applyAlignment="1">
      <alignment vertical="center" shrinkToFit="1"/>
    </xf>
    <xf numFmtId="179" fontId="0" fillId="0" borderId="10" xfId="0" applyNumberFormat="1" applyBorder="1" applyAlignment="1">
      <alignment horizontal="left" vertical="top" wrapText="1" shrinkToFit="1"/>
    </xf>
    <xf numFmtId="179" fontId="0" fillId="0" borderId="9" xfId="0" applyNumberFormat="1" applyBorder="1" applyAlignment="1">
      <alignment horizontal="left" vertical="top" shrinkToFit="1"/>
    </xf>
    <xf numFmtId="179" fontId="0" fillId="0" borderId="12" xfId="0" applyNumberFormat="1" applyBorder="1" applyAlignment="1">
      <alignment horizontal="left" vertical="top" shrinkToFit="1"/>
    </xf>
    <xf numFmtId="179" fontId="0" fillId="0" borderId="14" xfId="0" applyNumberFormat="1" applyBorder="1" applyAlignment="1">
      <alignment horizontal="left" vertical="top" shrinkToFit="1"/>
    </xf>
    <xf numFmtId="179" fontId="0" fillId="0" borderId="0" xfId="0" applyNumberFormat="1" applyAlignment="1">
      <alignment horizontal="left" vertical="top" shrinkToFit="1"/>
    </xf>
    <xf numFmtId="179" fontId="0" fillId="0" borderId="15" xfId="0" applyNumberFormat="1" applyBorder="1" applyAlignment="1">
      <alignment horizontal="left" vertical="top" shrinkToFit="1"/>
    </xf>
    <xf numFmtId="179" fontId="0" fillId="0" borderId="11" xfId="0" applyNumberFormat="1" applyBorder="1" applyAlignment="1">
      <alignment horizontal="left" vertical="top" shrinkToFit="1"/>
    </xf>
    <xf numFmtId="179" fontId="0" fillId="0" borderId="2" xfId="0" applyNumberFormat="1" applyBorder="1" applyAlignment="1">
      <alignment horizontal="left" vertical="top" shrinkToFit="1"/>
    </xf>
    <xf numFmtId="179" fontId="0" fillId="0" borderId="13" xfId="0" applyNumberFormat="1" applyBorder="1" applyAlignment="1">
      <alignment horizontal="left" vertical="top" shrinkToFi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3" fillId="3" borderId="5" xfId="0" applyFont="1" applyFill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5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 shrinkToFit="1"/>
    </xf>
    <xf numFmtId="0" fontId="14" fillId="0" borderId="5" xfId="0" applyFont="1" applyBorder="1" applyAlignment="1">
      <alignment horizontal="center" vertical="center" wrapText="1" shrinkToFit="1"/>
    </xf>
    <xf numFmtId="176" fontId="7" fillId="0" borderId="4" xfId="0" applyNumberFormat="1" applyFont="1" applyBorder="1" applyAlignment="1">
      <alignment horizontal="right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205440</xdr:colOff>
      <xdr:row>5</xdr:row>
      <xdr:rowOff>538628</xdr:rowOff>
    </xdr:from>
    <xdr:to>
      <xdr:col>15</xdr:col>
      <xdr:colOff>448563</xdr:colOff>
      <xdr:row>6</xdr:row>
      <xdr:rowOff>121769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DAED3378-8C88-2509-7833-BD682FF99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0969" y="2208304"/>
          <a:ext cx="243123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showZeros="0" tabSelected="1" view="pageBreakPreview" zoomScale="145" zoomScaleNormal="100" zoomScaleSheetLayoutView="145" workbookViewId="0">
      <selection activeCell="L14" sqref="L14:M14"/>
    </sheetView>
  </sheetViews>
  <sheetFormatPr defaultColWidth="8.875" defaultRowHeight="16.5" x14ac:dyDescent="0.3"/>
  <cols>
    <col min="1" max="1" width="5" customWidth="1"/>
    <col min="2" max="2" width="17.5" customWidth="1"/>
    <col min="3" max="3" width="6.875" customWidth="1"/>
    <col min="4" max="4" width="11" customWidth="1"/>
    <col min="5" max="6" width="3.625" customWidth="1"/>
    <col min="7" max="7" width="0.625" customWidth="1"/>
    <col min="8" max="8" width="10" customWidth="1"/>
    <col min="9" max="9" width="0.625" customWidth="1"/>
    <col min="10" max="11" width="6.875" customWidth="1"/>
    <col min="12" max="12" width="0.625" customWidth="1"/>
    <col min="13" max="13" width="10" customWidth="1"/>
    <col min="14" max="14" width="0.625" customWidth="1"/>
    <col min="15" max="15" width="11.125" customWidth="1"/>
    <col min="16" max="16" width="7.375" customWidth="1"/>
  </cols>
  <sheetData>
    <row r="1" spans="1:19" ht="16.5" customHeight="1" x14ac:dyDescent="0.3">
      <c r="A1" s="8" t="s">
        <v>10</v>
      </c>
      <c r="B1" s="7"/>
      <c r="E1" s="6"/>
      <c r="Q1" s="14" t="s">
        <v>23</v>
      </c>
      <c r="R1" s="15" t="s">
        <v>22</v>
      </c>
      <c r="S1" t="str">
        <f>IF(R1="절상","원 단위 미만 세액을 원 단위로 올림합니다","원 단위 미만 금액은 세액에서 제외합니다.")</f>
        <v>원 단위 미만 세액을 원 단위로 올림합니다</v>
      </c>
    </row>
    <row r="3" spans="1:19" ht="38.25" x14ac:dyDescent="0.3">
      <c r="A3" s="51" t="s">
        <v>12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9" ht="33.7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9" ht="26.25" customHeight="1" x14ac:dyDescent="0.3">
      <c r="A5" s="52">
        <f ca="1">TODAY()</f>
        <v>46092</v>
      </c>
      <c r="B5" s="52"/>
      <c r="C5" s="52"/>
      <c r="D5" s="11"/>
      <c r="F5" s="68" t="s">
        <v>0</v>
      </c>
      <c r="G5" s="2"/>
      <c r="H5" s="3" t="s">
        <v>1</v>
      </c>
      <c r="I5" s="4"/>
      <c r="J5" s="58" t="s">
        <v>34</v>
      </c>
      <c r="K5" s="59"/>
      <c r="L5" s="59"/>
      <c r="M5" s="59"/>
      <c r="N5" s="59"/>
      <c r="O5" s="59"/>
      <c r="P5" s="60"/>
    </row>
    <row r="6" spans="1:19" ht="54" customHeight="1" x14ac:dyDescent="0.3">
      <c r="F6" s="69"/>
      <c r="G6" s="5"/>
      <c r="H6" s="20" t="s">
        <v>7</v>
      </c>
      <c r="I6" s="17"/>
      <c r="J6" s="19" t="s">
        <v>25</v>
      </c>
      <c r="K6" s="19"/>
      <c r="L6" s="16"/>
      <c r="M6" s="20" t="s">
        <v>5</v>
      </c>
      <c r="N6" s="17"/>
      <c r="O6" s="20" t="s">
        <v>26</v>
      </c>
      <c r="P6" s="21" t="s">
        <v>6</v>
      </c>
    </row>
    <row r="7" spans="1:19" ht="54" customHeight="1" x14ac:dyDescent="0.3">
      <c r="A7" s="63" t="s">
        <v>38</v>
      </c>
      <c r="B7" s="63"/>
      <c r="C7" s="63"/>
      <c r="D7" s="7" t="s">
        <v>18</v>
      </c>
      <c r="F7" s="69"/>
      <c r="G7" s="5"/>
      <c r="H7" s="20"/>
      <c r="I7" s="17"/>
      <c r="J7" s="19"/>
      <c r="K7" s="19"/>
      <c r="L7" s="18"/>
      <c r="M7" s="20"/>
      <c r="N7" s="18"/>
      <c r="O7" s="20"/>
      <c r="P7" s="21"/>
    </row>
    <row r="8" spans="1:19" ht="26.25" customHeight="1" x14ac:dyDescent="0.3">
      <c r="F8" s="69"/>
      <c r="G8" s="5"/>
      <c r="H8" s="3" t="s">
        <v>2</v>
      </c>
      <c r="I8" s="4"/>
      <c r="J8" s="61" t="s">
        <v>27</v>
      </c>
      <c r="K8" s="62"/>
      <c r="L8" s="5"/>
      <c r="M8" s="3" t="s">
        <v>3</v>
      </c>
      <c r="N8" s="4"/>
      <c r="O8" s="71" t="s">
        <v>35</v>
      </c>
      <c r="P8" s="72"/>
    </row>
    <row r="9" spans="1:19" ht="26.25" customHeight="1" x14ac:dyDescent="0.3">
      <c r="A9" s="1" t="s">
        <v>11</v>
      </c>
      <c r="F9" s="70"/>
      <c r="G9" s="5"/>
      <c r="H9" s="3" t="s">
        <v>4</v>
      </c>
      <c r="I9" s="4"/>
      <c r="J9" s="58" t="s">
        <v>28</v>
      </c>
      <c r="K9" s="60"/>
      <c r="L9" s="5"/>
      <c r="M9" s="3" t="s">
        <v>31</v>
      </c>
      <c r="N9" s="4"/>
      <c r="O9" s="58" t="s">
        <v>32</v>
      </c>
      <c r="P9" s="60"/>
    </row>
    <row r="11" spans="1:19" ht="37.5" customHeight="1" x14ac:dyDescent="0.3">
      <c r="A11" s="66" t="s">
        <v>33</v>
      </c>
      <c r="B11" s="67"/>
      <c r="C11" s="64" t="s">
        <v>8</v>
      </c>
      <c r="D11" s="65"/>
      <c r="E11" s="57">
        <f>L11</f>
        <v>299999.7</v>
      </c>
      <c r="F11" s="57"/>
      <c r="G11" s="57"/>
      <c r="H11" s="57"/>
      <c r="I11" s="57"/>
      <c r="J11" s="57"/>
      <c r="K11" s="10" t="s">
        <v>9</v>
      </c>
      <c r="L11" s="53">
        <f>I31+L31</f>
        <v>299999.7</v>
      </c>
      <c r="M11" s="53"/>
      <c r="N11" s="53"/>
      <c r="O11" s="53"/>
      <c r="P11" s="54"/>
    </row>
    <row r="13" spans="1:19" ht="26.25" customHeight="1" x14ac:dyDescent="0.3">
      <c r="A13" s="29" t="s">
        <v>16</v>
      </c>
      <c r="B13" s="30"/>
      <c r="C13" s="29" t="s">
        <v>17</v>
      </c>
      <c r="D13" s="30"/>
      <c r="E13" s="29" t="s">
        <v>30</v>
      </c>
      <c r="F13" s="44"/>
      <c r="G13" s="44"/>
      <c r="H13" s="30"/>
      <c r="I13" s="31" t="s">
        <v>13</v>
      </c>
      <c r="J13" s="31"/>
      <c r="K13" s="31"/>
      <c r="L13" s="29" t="s">
        <v>14</v>
      </c>
      <c r="M13" s="30"/>
      <c r="N13" s="31" t="s">
        <v>15</v>
      </c>
      <c r="O13" s="31"/>
      <c r="P13" s="31"/>
    </row>
    <row r="14" spans="1:19" ht="27" customHeight="1" x14ac:dyDescent="0.3">
      <c r="A14" s="55" t="s">
        <v>29</v>
      </c>
      <c r="B14" s="56"/>
      <c r="C14" s="45" t="s">
        <v>36</v>
      </c>
      <c r="D14" s="47"/>
      <c r="E14" s="45" t="s">
        <v>37</v>
      </c>
      <c r="F14" s="46"/>
      <c r="G14" s="46"/>
      <c r="H14" s="47"/>
      <c r="I14" s="32">
        <v>272727</v>
      </c>
      <c r="J14" s="33"/>
      <c r="K14" s="34"/>
      <c r="L14" s="23">
        <f>I14*0.1</f>
        <v>27272.7</v>
      </c>
      <c r="M14" s="24"/>
      <c r="N14" s="25"/>
      <c r="O14" s="25"/>
      <c r="P14" s="25"/>
    </row>
    <row r="15" spans="1:19" ht="27.75" customHeight="1" x14ac:dyDescent="0.3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50"/>
    </row>
    <row r="16" spans="1:19" ht="27.75" customHeight="1" x14ac:dyDescent="0.3">
      <c r="A16" s="35" t="s">
        <v>39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</row>
    <row r="17" spans="1:16" ht="27.75" customHeight="1" x14ac:dyDescent="0.3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</row>
    <row r="18" spans="1:16" ht="27.7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</row>
    <row r="19" spans="1:16" ht="27" customHeight="1" x14ac:dyDescent="0.3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40"/>
    </row>
    <row r="20" spans="1:16" ht="26.2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</row>
    <row r="21" spans="1:16" ht="26.25" customHeight="1" x14ac:dyDescent="0.3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40"/>
    </row>
    <row r="22" spans="1:16" ht="26.2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</row>
    <row r="23" spans="1:16" ht="26.25" customHeight="1" x14ac:dyDescent="0.3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40"/>
    </row>
    <row r="24" spans="1:16" ht="26.25" customHeight="1" x14ac:dyDescent="0.3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40"/>
    </row>
    <row r="25" spans="1:16" ht="26.25" customHeight="1" x14ac:dyDescent="0.3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</row>
    <row r="26" spans="1:16" ht="26.25" customHeight="1" x14ac:dyDescent="0.3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40"/>
    </row>
    <row r="27" spans="1:16" ht="26.25" customHeight="1" x14ac:dyDescent="0.3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40"/>
    </row>
    <row r="28" spans="1:16" ht="26.25" customHeight="1" x14ac:dyDescent="0.3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40"/>
    </row>
    <row r="29" spans="1:16" ht="26.25" customHeight="1" x14ac:dyDescent="0.3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/>
    </row>
    <row r="30" spans="1:16" ht="26.25" customHeight="1" x14ac:dyDescent="0.3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3"/>
    </row>
    <row r="31" spans="1:16" ht="26.25" customHeight="1" x14ac:dyDescent="0.3">
      <c r="A31" s="26" t="s">
        <v>19</v>
      </c>
      <c r="B31" s="27"/>
      <c r="C31" s="27"/>
      <c r="D31" s="27"/>
      <c r="E31" s="27"/>
      <c r="F31" s="27"/>
      <c r="G31" s="27"/>
      <c r="H31" s="28"/>
      <c r="I31" s="22">
        <f>SUM(I14:K30)</f>
        <v>272727</v>
      </c>
      <c r="J31" s="22"/>
      <c r="K31" s="22"/>
      <c r="L31" s="23">
        <f>SUM(L14:M30)</f>
        <v>27272.7</v>
      </c>
      <c r="M31" s="24"/>
      <c r="N31" s="25"/>
      <c r="O31" s="25"/>
      <c r="P31" s="25"/>
    </row>
    <row r="32" spans="1:16" hidden="1" x14ac:dyDescent="0.3"/>
    <row r="33" spans="1:16" ht="16.5" customHeight="1" x14ac:dyDescent="0.3">
      <c r="A33" s="13" t="s">
        <v>24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6.5" customHeight="1" x14ac:dyDescent="0.3">
      <c r="A34" s="13" t="s">
        <v>20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6.5" customHeight="1" x14ac:dyDescent="0.3">
      <c r="A35" s="13" t="s">
        <v>21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</sheetData>
  <mergeCells count="36">
    <mergeCell ref="A3:P3"/>
    <mergeCell ref="A5:C5"/>
    <mergeCell ref="L11:P11"/>
    <mergeCell ref="A14:B14"/>
    <mergeCell ref="E11:J11"/>
    <mergeCell ref="J5:P5"/>
    <mergeCell ref="J9:K9"/>
    <mergeCell ref="J8:K8"/>
    <mergeCell ref="A7:C7"/>
    <mergeCell ref="C11:D11"/>
    <mergeCell ref="C13:D13"/>
    <mergeCell ref="A11:B11"/>
    <mergeCell ref="F5:F9"/>
    <mergeCell ref="O8:P8"/>
    <mergeCell ref="H6:H7"/>
    <mergeCell ref="O9:P9"/>
    <mergeCell ref="A31:H31"/>
    <mergeCell ref="A13:B13"/>
    <mergeCell ref="I13:K13"/>
    <mergeCell ref="L13:M13"/>
    <mergeCell ref="N13:P13"/>
    <mergeCell ref="N14:P14"/>
    <mergeCell ref="I14:K14"/>
    <mergeCell ref="L14:M14"/>
    <mergeCell ref="A16:P30"/>
    <mergeCell ref="E13:H13"/>
    <mergeCell ref="E14:H14"/>
    <mergeCell ref="C14:D14"/>
    <mergeCell ref="A15:P15"/>
    <mergeCell ref="J6:K7"/>
    <mergeCell ref="M6:M7"/>
    <mergeCell ref="O6:O7"/>
    <mergeCell ref="P6:P7"/>
    <mergeCell ref="I31:K31"/>
    <mergeCell ref="L31:M31"/>
    <mergeCell ref="N31:P31"/>
  </mergeCells>
  <phoneticPr fontId="1" type="noConversion"/>
  <dataValidations disablePrompts="1" count="1">
    <dataValidation type="list" allowBlank="1" showInputMessage="1" showErrorMessage="1" sqref="R1">
      <formula1>"절상,절사"</formula1>
    </dataValidation>
  </dataValidations>
  <pageMargins left="0.51181102362204722" right="0.51181102362204722" top="0.55118110236220474" bottom="0.55118110236220474" header="0.31496062992125984" footer="0.31496062992125984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1" sqref="E11"/>
    </sheetView>
  </sheetViews>
  <sheetFormatPr defaultColWidth="8.875" defaultRowHeight="16.5" x14ac:dyDescent="0.3"/>
  <cols>
    <col min="1" max="1" width="9" customWidth="1"/>
  </cols>
  <sheetData/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표준견적서</vt:lpstr>
      <vt:lpstr>Sheet2</vt:lpstr>
      <vt:lpstr>표준견적서!Print_Area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김민우</dc:creator>
  <cp:lastModifiedBy>mypc</cp:lastModifiedBy>
  <cp:lastPrinted>2026-01-29T07:46:11Z</cp:lastPrinted>
  <dcterms:created xsi:type="dcterms:W3CDTF">2023-01-29T03:26:22Z</dcterms:created>
  <dcterms:modified xsi:type="dcterms:W3CDTF">2026-03-11T05:28:20Z</dcterms:modified>
</cp:coreProperties>
</file>